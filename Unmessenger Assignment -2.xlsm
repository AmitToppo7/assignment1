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A:\Data is good\Intership\"/>
    </mc:Choice>
  </mc:AlternateContent>
  <xr:revisionPtr revIDLastSave="0" documentId="13_ncr:1_{0C04D5C8-0726-4E9E-B242-FCC4432A118A}" xr6:coauthVersionLast="47" xr6:coauthVersionMax="47" xr10:uidLastSave="{00000000-0000-0000-0000-000000000000}"/>
  <bookViews>
    <workbookView xWindow="-110" yWindow="-110" windowWidth="19420" windowHeight="11020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4" i="1" l="1"/>
  <c r="J15" i="1"/>
  <c r="J16" i="1"/>
  <c r="J18" i="1"/>
  <c r="J28" i="1"/>
  <c r="J21" i="1"/>
  <c r="J31" i="1"/>
  <c r="J35" i="1"/>
  <c r="J36" i="1"/>
  <c r="J42" i="1"/>
  <c r="J8" i="1"/>
  <c r="J9" i="1"/>
  <c r="J10" i="1"/>
  <c r="J11" i="1"/>
  <c r="J12" i="1"/>
  <c r="J13" i="1"/>
  <c r="J17" i="1"/>
  <c r="J19" i="1"/>
  <c r="J20" i="1"/>
  <c r="J22" i="1"/>
  <c r="J23" i="1"/>
  <c r="J24" i="1"/>
  <c r="J25" i="1"/>
  <c r="J26" i="1"/>
  <c r="J27" i="1"/>
  <c r="J29" i="1"/>
  <c r="J30" i="1"/>
  <c r="J32" i="1"/>
  <c r="J33" i="1"/>
  <c r="J34" i="1"/>
  <c r="J37" i="1"/>
  <c r="J38" i="1"/>
  <c r="J39" i="1"/>
  <c r="J40" i="1"/>
  <c r="J41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10" i="1"/>
  <c r="W11" i="1"/>
  <c r="W12" i="1"/>
  <c r="W9" i="1"/>
  <c r="W8" i="1"/>
</calcChain>
</file>

<file path=xl/sharedStrings.xml><?xml version="1.0" encoding="utf-8"?>
<sst xmlns="http://schemas.openxmlformats.org/spreadsheetml/2006/main" count="502" uniqueCount="162">
  <si>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</si>
  <si>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</si>
  <si>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</si>
  <si>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</si>
  <si>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</si>
  <si>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</si>
  <si>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</si>
  <si>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</si>
  <si>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</si>
  <si>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</si>
  <si>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</si>
  <si>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</si>
  <si>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</si>
  <si>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</si>
  <si>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</si>
  <si>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</si>
  <si>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</si>
  <si>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</si>
  <si>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</si>
  <si>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</si>
  <si>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</si>
  <si>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</si>
  <si>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</si>
  <si>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</si>
  <si>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</si>
  <si>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</si>
  <si>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</si>
  <si>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</si>
  <si>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</si>
  <si>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</si>
  <si>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</si>
  <si>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</si>
  <si>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</si>
  <si>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</si>
  <si>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</si>
  <si>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</si>
  <si>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</si>
  <si>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</si>
  <si>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</si>
  <si>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</si>
  <si>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</si>
  <si>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</si>
  <si>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</si>
  <si>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</si>
  <si>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</si>
  <si>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</si>
  <si>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</si>
  <si>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</si>
  <si>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</si>
  <si>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</si>
  <si>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</si>
  <si>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</si>
  <si>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</si>
  <si>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</si>
  <si>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</si>
  <si>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</si>
  <si>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</si>
  <si>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</si>
  <si>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</si>
  <si>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</si>
  <si>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</si>
  <si>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</si>
  <si>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</si>
  <si>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</si>
  <si>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</si>
  <si>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</si>
  <si>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</si>
  <si>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</si>
  <si>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</si>
  <si>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</si>
  <si>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</si>
  <si>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</si>
  <si>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</si>
  <si>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</si>
  <si>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</si>
  <si>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</si>
  <si>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</si>
  <si>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</si>
  <si>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</si>
  <si>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</si>
  <si>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</si>
  <si>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</si>
  <si>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</si>
  <si>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</si>
  <si>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</si>
  <si>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</si>
  <si>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</si>
  <si>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</si>
  <si>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</si>
  <si>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</si>
  <si>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</si>
  <si>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</si>
  <si>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</si>
  <si>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</si>
  <si>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</si>
  <si>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</si>
  <si>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</si>
  <si>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</si>
  <si>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</si>
  <si>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</si>
  <si>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</si>
  <si>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</si>
  <si>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</si>
  <si>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</si>
  <si>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</si>
  <si>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</si>
  <si>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</si>
  <si>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</si>
  <si>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</si>
  <si>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</si>
  <si>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</si>
  <si>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</si>
  <si>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</si>
  <si>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</si>
  <si>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</si>
  <si>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</si>
  <si>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</si>
  <si>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</si>
  <si>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</si>
  <si>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</si>
  <si>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</si>
  <si>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</si>
  <si>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</si>
  <si>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</si>
  <si>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</si>
  <si>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</si>
  <si>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</si>
  <si>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</si>
  <si>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</si>
  <si>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</si>
  <si>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</si>
  <si>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</si>
  <si>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</si>
  <si>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</si>
  <si>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Department</t>
  </si>
  <si>
    <t>Hr</t>
  </si>
  <si>
    <t>Operations</t>
  </si>
  <si>
    <t>Sales</t>
  </si>
  <si>
    <t>Finance/Accounts</t>
  </si>
  <si>
    <t>Mangement</t>
  </si>
  <si>
    <t>Data Science</t>
  </si>
  <si>
    <t>jane doe</t>
  </si>
  <si>
    <t>naveen sharma</t>
  </si>
  <si>
    <t>kavitasharma</t>
  </si>
  <si>
    <t>vikas joshi</t>
  </si>
  <si>
    <t>ankit singh</t>
  </si>
  <si>
    <t>sarika patel</t>
  </si>
  <si>
    <t>payal sharma</t>
  </si>
  <si>
    <t>mukesh sharma</t>
  </si>
  <si>
    <t>gaurav kumar</t>
  </si>
  <si>
    <t>john.doe@gmail com</t>
  </si>
  <si>
    <t>91 9876543210</t>
  </si>
  <si>
    <t>91 8765432109</t>
  </si>
  <si>
    <t>91 5555555555</t>
  </si>
  <si>
    <t>91 9999999999</t>
  </si>
  <si>
    <t>91 1234567890</t>
  </si>
  <si>
    <t>support@dataisgood.com</t>
  </si>
  <si>
    <t>It Department</t>
  </si>
  <si>
    <t>It Devlopement</t>
  </si>
  <si>
    <t>Operaryion</t>
  </si>
  <si>
    <t>Rank</t>
  </si>
  <si>
    <t>Address 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</si>
</sst>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Font="1"/>
    <xf numFmtId="1" fontId="0" fillId="0" borderId="0" xfId="0" applyNumberFormat="1" applyFont="1" applyAlignment="1">
      <alignment horizontal="left"/>
    </xf>
    <xf numFmtId="0" fontId="0" fillId="2" borderId="0" xfId="0" applyFill="1"/>
    <xf numFmtId="0" fontId="1" fillId="3" borderId="0" xfId="0" applyFont="1" applyFill="1"/>
    <xf numFmtId="0" fontId="0" fillId="0" borderId="0" xfId="0" applyNumberFormat="1" applyAlignment="1">
      <alignment horizontal="center"/>
    </xf>
    <xf numFmtId="0" fontId="2" fillId="2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</cellXfs>
  <cellStyles count="1">
    <cellStyle name="Normal" xfId="0" builtinId="0"/>
  </cellStyles>
  <dxfs count="30">
    <dxf>
      <fill>
        <patternFill patternType="solid">
          <fgColor rgb="FFFFFF0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numFmt numFmtId="1" formatCode="0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480060</xdr:colOff>
      <xdr:row>0</xdr:row>
      <xdr:rowOff>114300</xdr:rowOff>
    </xdr:from>
    <xdr:to>
      <xdr:col>7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2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A7:J56" totalsRowCount="1" headerRowDxfId="29">
  <sortState xmlns:xlrd2="http://schemas.microsoft.com/office/spreadsheetml/2017/richdata2" ref="A8:J55">
    <sortCondition ref="A8:A55"/>
  </sortState>
  <tableColumns count="10">
    <tableColumn id="1" xr3:uid="{0F186AC9-7116-4750-8350-32E39657BDEF}" name="Id" dataDxfId="28" totalsRowDxfId="17"/>
    <tableColumn id="2" xr3:uid="{587ADADF-3A31-4671-AAB2-636A2204C2A1}" name="Name" dataDxfId="27" totalsRowDxfId="16"/>
    <tableColumn id="3" xr3:uid="{D20B21E4-141B-4F80-B509-FFFDBDDDD7F4}" name="Age" dataDxfId="26" totalsRowDxfId="15"/>
    <tableColumn id="4" xr3:uid="{988050FD-7A13-4567-B7F1-B83DFF6C50D6}" name="Gender" dataDxfId="25" totalsRowDxfId="14"/>
    <tableColumn id="11" xr3:uid="{F58C5A64-5A17-412B-B48B-90D080D61C0D}" name="Department" dataDxfId="24" totalsRowDxfId="13"/>
    <tableColumn id="10" xr3:uid="{397E02B1-22BC-4149-8568-51380E777BC0}" name="Email" dataDxfId="23" totalsRowDxfId="12"/>
    <tableColumn id="7" xr3:uid="{9F3F4B7E-0B29-4F47-944B-C89BC5596DA2}" name="Phone" dataDxfId="20" totalsRowDxfId="11"/>
    <tableColumn id="8" xr3:uid="{9894F713-829B-4BE3-B5D2-22F23DA72823}" name="Address" dataDxfId="22" totalsRowDxfId="10"/>
    <tableColumn id="9" xr3:uid="{69CDA7D3-FED4-49AB-9173-918B9E817F84}" name="Salary" dataDxfId="21" totalsRowDxfId="9"/>
    <tableColumn id="14" xr3:uid="{6BB5411C-E595-4AED-9335-BA62D447B2E0}" name="Rank" dataDxfId="7" totalsRowDxfId="8">
      <calculatedColumnFormula>RANK(Table1[[#This Row],[Salary]],$I$8:$I$55,0)</calculatedColumnFormula>
    </tableColumn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sheetPr codeName="Sheet1"/>
  <dimension ref="A6:X56"/>
  <sheetViews>
    <sheetView tabSelected="1" zoomScale="45" workbookViewId="0"/>
  </sheetViews>
  <sheetFormatPr defaultRowHeight="14.5" x14ac:dyDescent="0.35"/>
  <cols>
    <col min="1" max="1" width="3.7265625" bestFit="1" customWidth="1"/>
    <col min="2" max="2" width="13.1796875" bestFit="1" customWidth="1"/>
    <col min="3" max="3" width="3.90625" bestFit="1" customWidth="1"/>
    <col min="4" max="4" width="6.54296875" bestFit="1" customWidth="1"/>
    <col min="5" max="5" width="15.6328125" bestFit="1" customWidth="1"/>
    <col min="6" max="6" width="29.1796875" bestFit="1" customWidth="1"/>
    <col min="7" max="7" width="15.6328125" customWidth="1"/>
    <col min="8" max="8" width="22.90625" customWidth="1"/>
    <col min="9" max="9" width="37.453125" bestFit="1" customWidth="1"/>
    <col min="12" max="12" width="0" hidden="1" customWidth="1"/>
    <col min="13" max="13" width="43.08984375" hidden="1" customWidth="1"/>
    <col min="14" max="24" width="0" hidden="1" customWidth="1"/>
  </cols>
  <sheetData>
    <row r="6" spans="1:24" x14ac:dyDescent="0.35">
      <c r="M6" t="s">
        <v>161</v>
      </c>
    </row>
    <row r="7" spans="1:24" x14ac:dyDescent="0.35">
      <c r="A7" s="4" t="s">
        <v>1</v>
      </c>
      <c r="B7" s="4" t="s">
        <v>0</v>
      </c>
      <c r="C7" s="4" t="s">
        <v>2</v>
      </c>
      <c r="D7" s="4" t="s">
        <v>3</v>
      </c>
      <c r="E7" s="4" t="s">
        <v>134</v>
      </c>
      <c r="F7" s="4" t="s">
        <v>4</v>
      </c>
      <c r="G7" s="4" t="s">
        <v>5</v>
      </c>
      <c r="H7" s="4" t="s">
        <v>6</v>
      </c>
      <c r="I7" s="4" t="s">
        <v>133</v>
      </c>
      <c r="J7" s="4" t="s">
        <v>160</v>
      </c>
      <c r="P7" t="s">
        <v>1</v>
      </c>
      <c r="Q7" t="s">
        <v>0</v>
      </c>
      <c r="R7" t="s">
        <v>2</v>
      </c>
      <c r="S7" t="s">
        <v>3</v>
      </c>
      <c r="T7" t="s">
        <v>134</v>
      </c>
      <c r="U7" t="s">
        <v>4</v>
      </c>
      <c r="V7" t="s">
        <v>5</v>
      </c>
      <c r="W7" t="s">
        <v>6</v>
      </c>
      <c r="X7" t="s">
        <v>133</v>
      </c>
    </row>
    <row r="8" spans="1:24" x14ac:dyDescent="0.35">
      <c r="A8">
        <v>1</v>
      </c>
      <c r="B8" t="s">
        <v>33</v>
      </c>
      <c r="C8">
        <v>32</v>
      </c>
      <c r="D8" t="s">
        <v>8</v>
      </c>
      <c r="E8" t="s">
        <v>136</v>
      </c>
      <c r="F8" t="s">
        <v>150</v>
      </c>
      <c r="G8" s="8" t="s">
        <v>155</v>
      </c>
      <c r="H8" t="s">
        <v>34</v>
      </c>
      <c r="I8">
        <v>4553</v>
      </c>
      <c r="J8" s="5">
        <f>RANK(Table1[[#This Row],[Salary]],$I$8:$I$55,0)</f>
        <v>43</v>
      </c>
      <c r="L8" s="5"/>
      <c r="M8" t="s">
        <v>49</v>
      </c>
      <c r="P8">
        <v>7</v>
      </c>
      <c r="Q8" t="s">
        <v>48</v>
      </c>
      <c r="R8">
        <v>25</v>
      </c>
      <c r="S8" t="s">
        <v>12</v>
      </c>
      <c r="T8" t="s">
        <v>158</v>
      </c>
      <c r="U8" t="s">
        <v>156</v>
      </c>
      <c r="V8" t="s">
        <v>154</v>
      </c>
      <c r="W8" t="str">
        <f>IF(M8="0",$M$6,M8)</f>
        <v>678 6th St, Chennai, Tamil Nadu, India</v>
      </c>
      <c r="X8">
        <v>45828</v>
      </c>
    </row>
    <row r="9" spans="1:24" x14ac:dyDescent="0.35">
      <c r="A9">
        <v>2</v>
      </c>
      <c r="B9" t="s">
        <v>35</v>
      </c>
      <c r="C9">
        <v>28</v>
      </c>
      <c r="D9" t="s">
        <v>12</v>
      </c>
      <c r="E9" t="s">
        <v>157</v>
      </c>
      <c r="F9" t="s">
        <v>36</v>
      </c>
      <c r="G9" s="8" t="s">
        <v>151</v>
      </c>
      <c r="H9" t="s">
        <v>37</v>
      </c>
      <c r="I9">
        <v>31169</v>
      </c>
      <c r="J9" s="5">
        <f>RANK(Table1[[#This Row],[Salary]],$I$8:$I$55,0)</f>
        <v>20</v>
      </c>
      <c r="L9" s="5"/>
      <c r="M9">
        <v>0</v>
      </c>
      <c r="P9">
        <v>8</v>
      </c>
      <c r="Q9" t="s">
        <v>50</v>
      </c>
      <c r="R9">
        <v>31</v>
      </c>
      <c r="S9" t="s">
        <v>8</v>
      </c>
      <c r="T9" t="s">
        <v>137</v>
      </c>
      <c r="U9" t="s">
        <v>51</v>
      </c>
      <c r="V9">
        <v>918888888888</v>
      </c>
      <c r="W9" t="str">
        <f>IF(M9=0,$M$6,M9)</f>
        <v>Address not available</v>
      </c>
      <c r="X9">
        <v>45450</v>
      </c>
    </row>
    <row r="10" spans="1:24" x14ac:dyDescent="0.35">
      <c r="A10">
        <v>3</v>
      </c>
      <c r="B10" t="s">
        <v>38</v>
      </c>
      <c r="C10">
        <v>27</v>
      </c>
      <c r="D10" t="s">
        <v>8</v>
      </c>
      <c r="E10" t="s">
        <v>158</v>
      </c>
      <c r="F10" t="s">
        <v>39</v>
      </c>
      <c r="G10" s="8" t="s">
        <v>152</v>
      </c>
      <c r="H10" t="s">
        <v>40</v>
      </c>
      <c r="I10">
        <v>11116</v>
      </c>
      <c r="J10" s="5">
        <f>RANK(Table1[[#This Row],[Salary]],$I$8:$I$55,0)</f>
        <v>37</v>
      </c>
      <c r="L10" s="5"/>
      <c r="M10" t="s">
        <v>54</v>
      </c>
      <c r="P10">
        <v>9</v>
      </c>
      <c r="Q10" t="s">
        <v>52</v>
      </c>
      <c r="R10">
        <v>27</v>
      </c>
      <c r="S10" t="s">
        <v>12</v>
      </c>
      <c r="T10" t="s">
        <v>137</v>
      </c>
      <c r="U10" t="s">
        <v>53</v>
      </c>
      <c r="V10">
        <v>917777777777</v>
      </c>
      <c r="W10" t="str">
        <f>IF(M10=0,$M$6,M10)</f>
        <v>901 7th St, Hyderabad, Telangana, India</v>
      </c>
      <c r="X10">
        <v>49938</v>
      </c>
    </row>
    <row r="11" spans="1:24" x14ac:dyDescent="0.35">
      <c r="A11">
        <v>4</v>
      </c>
      <c r="B11" t="s">
        <v>41</v>
      </c>
      <c r="C11">
        <v>33</v>
      </c>
      <c r="D11" t="s">
        <v>12</v>
      </c>
      <c r="E11" t="s">
        <v>137</v>
      </c>
      <c r="F11" t="s">
        <v>42</v>
      </c>
      <c r="G11" s="8" t="s">
        <v>153</v>
      </c>
      <c r="H11" t="s">
        <v>43</v>
      </c>
      <c r="I11">
        <v>33457</v>
      </c>
      <c r="J11" s="5">
        <f>RANK(Table1[[#This Row],[Salary]],$I$8:$I$55,0)</f>
        <v>17</v>
      </c>
      <c r="L11" s="5"/>
      <c r="M11" t="s">
        <v>59</v>
      </c>
      <c r="P11">
        <v>11</v>
      </c>
      <c r="Q11" t="s">
        <v>57</v>
      </c>
      <c r="R11">
        <v>30</v>
      </c>
      <c r="S11" t="s">
        <v>12</v>
      </c>
      <c r="T11" t="s">
        <v>157</v>
      </c>
      <c r="U11" t="s">
        <v>58</v>
      </c>
      <c r="V11">
        <v>916666666666</v>
      </c>
      <c r="W11" t="str">
        <f>IF(M11=0,$M$6,M11)</f>
        <v>567 9th St, Ahmedabad, Gujarat, India</v>
      </c>
      <c r="X11">
        <v>41836</v>
      </c>
    </row>
    <row r="12" spans="1:24" x14ac:dyDescent="0.35">
      <c r="A12">
        <v>5</v>
      </c>
      <c r="B12" t="s">
        <v>141</v>
      </c>
      <c r="C12">
        <v>29</v>
      </c>
      <c r="D12" t="s">
        <v>12</v>
      </c>
      <c r="E12" t="s">
        <v>137</v>
      </c>
      <c r="F12" t="s">
        <v>44</v>
      </c>
      <c r="G12" s="8"/>
      <c r="H12" t="s">
        <v>161</v>
      </c>
      <c r="I12">
        <v>21918</v>
      </c>
      <c r="J12" s="5">
        <f>RANK(Table1[[#This Row],[Salary]],$I$8:$I$55,0)</f>
        <v>29</v>
      </c>
      <c r="L12" s="5"/>
      <c r="M12" t="s">
        <v>21</v>
      </c>
      <c r="P12">
        <v>22</v>
      </c>
      <c r="Q12" t="s">
        <v>19</v>
      </c>
      <c r="R12">
        <v>33</v>
      </c>
      <c r="S12" t="s">
        <v>8</v>
      </c>
      <c r="T12" t="s">
        <v>140</v>
      </c>
      <c r="U12" t="s">
        <v>20</v>
      </c>
      <c r="V12">
        <v>918888888888</v>
      </c>
      <c r="W12" t="str">
        <f>IF(M12=0,$M$6,M12)</f>
        <v>901 17th St, Pune, Maharashtra, India</v>
      </c>
      <c r="X12">
        <v>49681</v>
      </c>
    </row>
    <row r="13" spans="1:24" x14ac:dyDescent="0.35">
      <c r="A13">
        <v>6</v>
      </c>
      <c r="B13" t="s">
        <v>45</v>
      </c>
      <c r="C13">
        <v>34</v>
      </c>
      <c r="D13" t="s">
        <v>8</v>
      </c>
      <c r="E13" t="s">
        <v>140</v>
      </c>
      <c r="F13" t="s">
        <v>46</v>
      </c>
      <c r="G13" s="8"/>
      <c r="H13" t="s">
        <v>47</v>
      </c>
      <c r="I13">
        <v>33418</v>
      </c>
      <c r="J13" s="5">
        <f>RANK(Table1[[#This Row],[Salary]],$I$8:$I$55,0)</f>
        <v>18</v>
      </c>
      <c r="L13" s="5"/>
      <c r="M13">
        <v>0</v>
      </c>
      <c r="P13">
        <v>15</v>
      </c>
      <c r="Q13" t="s">
        <v>143</v>
      </c>
      <c r="R13">
        <v>30</v>
      </c>
      <c r="S13" t="s">
        <v>12</v>
      </c>
      <c r="T13" t="s">
        <v>138</v>
      </c>
      <c r="U13" t="s">
        <v>66</v>
      </c>
      <c r="V13">
        <v>918888888888</v>
      </c>
      <c r="W13" t="str">
        <f>IF(M13=0,$M$6,M13)</f>
        <v>Address not available</v>
      </c>
      <c r="X13">
        <v>49400</v>
      </c>
    </row>
    <row r="14" spans="1:24" x14ac:dyDescent="0.35">
      <c r="A14" s="3">
        <v>7</v>
      </c>
      <c r="B14" s="3" t="s">
        <v>48</v>
      </c>
      <c r="C14" s="3">
        <v>25</v>
      </c>
      <c r="D14" s="3" t="s">
        <v>12</v>
      </c>
      <c r="E14" s="3" t="s">
        <v>158</v>
      </c>
      <c r="F14" s="3" t="s">
        <v>156</v>
      </c>
      <c r="G14" s="7" t="s">
        <v>154</v>
      </c>
      <c r="H14" s="3" t="s">
        <v>49</v>
      </c>
      <c r="I14" s="3">
        <v>45828</v>
      </c>
      <c r="J14" s="5">
        <f>RANK(Table1[[#This Row],[Salary]],$I$8:$I$55,0)</f>
        <v>5</v>
      </c>
      <c r="L14" s="5"/>
      <c r="M14" t="s">
        <v>29</v>
      </c>
      <c r="P14">
        <v>26</v>
      </c>
      <c r="Q14" t="s">
        <v>27</v>
      </c>
      <c r="R14">
        <v>31</v>
      </c>
      <c r="S14" t="s">
        <v>8</v>
      </c>
      <c r="T14" t="s">
        <v>138</v>
      </c>
      <c r="U14" t="s">
        <v>28</v>
      </c>
      <c r="W14" t="str">
        <f>IF(M14=0,$M$6,M14)</f>
        <v>789 20th St, Mumbai, Maharashtra, India</v>
      </c>
      <c r="X14">
        <v>45678</v>
      </c>
    </row>
    <row r="15" spans="1:24" x14ac:dyDescent="0.35">
      <c r="A15" s="3">
        <v>8</v>
      </c>
      <c r="B15" s="3" t="s">
        <v>50</v>
      </c>
      <c r="C15" s="3">
        <v>31</v>
      </c>
      <c r="D15" s="3" t="s">
        <v>8</v>
      </c>
      <c r="E15" s="3" t="s">
        <v>137</v>
      </c>
      <c r="F15" s="3" t="s">
        <v>51</v>
      </c>
      <c r="G15" s="7">
        <v>918888888888</v>
      </c>
      <c r="H15" s="3" t="s">
        <v>161</v>
      </c>
      <c r="I15" s="3">
        <v>45450</v>
      </c>
      <c r="J15" s="5">
        <f>RANK(Table1[[#This Row],[Salary]],$I$8:$I$55,0)</f>
        <v>7</v>
      </c>
      <c r="L15" s="5"/>
      <c r="M15" t="s">
        <v>79</v>
      </c>
      <c r="P15">
        <v>30</v>
      </c>
      <c r="Q15" t="s">
        <v>145</v>
      </c>
      <c r="R15">
        <v>29</v>
      </c>
      <c r="S15" t="s">
        <v>8</v>
      </c>
      <c r="T15" t="s">
        <v>137</v>
      </c>
      <c r="U15" t="s">
        <v>78</v>
      </c>
      <c r="W15" t="str">
        <f>IF(M15=0,$M$6,M15)</f>
        <v>567 24th St, Lucknow, Uttar Pradesh, India</v>
      </c>
      <c r="X15">
        <v>40940</v>
      </c>
    </row>
    <row r="16" spans="1:24" x14ac:dyDescent="0.35">
      <c r="A16" s="3">
        <v>9</v>
      </c>
      <c r="B16" s="3" t="s">
        <v>52</v>
      </c>
      <c r="C16" s="3">
        <v>27</v>
      </c>
      <c r="D16" s="3" t="s">
        <v>12</v>
      </c>
      <c r="E16" s="3" t="s">
        <v>137</v>
      </c>
      <c r="F16" s="3" t="s">
        <v>53</v>
      </c>
      <c r="G16" s="7">
        <v>917777777777</v>
      </c>
      <c r="H16" s="3" t="s">
        <v>54</v>
      </c>
      <c r="I16" s="6">
        <v>49938</v>
      </c>
      <c r="J16" s="5">
        <f>RANK(Table1[[#This Row],[Salary]],$I$8:$I$55,0)</f>
        <v>1</v>
      </c>
      <c r="L16" s="5"/>
      <c r="M16">
        <v>0</v>
      </c>
      <c r="P16">
        <v>31</v>
      </c>
      <c r="Q16" t="s">
        <v>52</v>
      </c>
      <c r="R16">
        <v>27</v>
      </c>
      <c r="S16" t="s">
        <v>12</v>
      </c>
      <c r="T16" t="s">
        <v>137</v>
      </c>
      <c r="U16" t="s">
        <v>80</v>
      </c>
      <c r="V16">
        <v>915555555555</v>
      </c>
      <c r="W16" t="str">
        <f>IF(M16=0,$M$6,M16)</f>
        <v>Address not available</v>
      </c>
      <c r="X16">
        <v>41841</v>
      </c>
    </row>
    <row r="17" spans="1:24" x14ac:dyDescent="0.35">
      <c r="A17">
        <v>10</v>
      </c>
      <c r="B17" t="s">
        <v>142</v>
      </c>
      <c r="C17">
        <v>35</v>
      </c>
      <c r="D17" t="s">
        <v>8</v>
      </c>
      <c r="E17" t="s">
        <v>136</v>
      </c>
      <c r="F17" t="s">
        <v>55</v>
      </c>
      <c r="G17" s="8"/>
      <c r="H17" t="s">
        <v>56</v>
      </c>
      <c r="I17">
        <v>9818</v>
      </c>
      <c r="J17" s="5">
        <f>RANK(Table1[[#This Row],[Salary]],$I$8:$I$55,0)</f>
        <v>38</v>
      </c>
      <c r="L17" s="5"/>
      <c r="M17" t="s">
        <v>96</v>
      </c>
      <c r="P17">
        <v>37</v>
      </c>
      <c r="Q17" t="s">
        <v>147</v>
      </c>
      <c r="R17">
        <v>31</v>
      </c>
      <c r="S17" t="s">
        <v>12</v>
      </c>
      <c r="T17" t="s">
        <v>137</v>
      </c>
      <c r="U17" t="s">
        <v>95</v>
      </c>
      <c r="W17" t="str">
        <f>IF(M17=0,$M$6,M17)</f>
        <v>234 30th St, Bangalore, Karnataka, India</v>
      </c>
      <c r="X17">
        <v>48367</v>
      </c>
    </row>
    <row r="18" spans="1:24" x14ac:dyDescent="0.35">
      <c r="A18" s="3">
        <v>11</v>
      </c>
      <c r="B18" s="3" t="s">
        <v>57</v>
      </c>
      <c r="C18" s="3">
        <v>30</v>
      </c>
      <c r="D18" s="3" t="s">
        <v>12</v>
      </c>
      <c r="E18" s="3" t="s">
        <v>157</v>
      </c>
      <c r="F18" s="3" t="s">
        <v>58</v>
      </c>
      <c r="G18" s="7">
        <v>916666666666</v>
      </c>
      <c r="H18" s="3" t="s">
        <v>59</v>
      </c>
      <c r="I18" s="3">
        <v>41836</v>
      </c>
      <c r="J18" s="5">
        <f>RANK(Table1[[#This Row],[Salary]],$I$8:$I$55,0)</f>
        <v>9</v>
      </c>
      <c r="M18" t="s">
        <v>34</v>
      </c>
      <c r="P18">
        <v>1</v>
      </c>
      <c r="Q18" t="s">
        <v>33</v>
      </c>
      <c r="R18">
        <v>32</v>
      </c>
      <c r="S18" t="s">
        <v>8</v>
      </c>
      <c r="T18" t="s">
        <v>136</v>
      </c>
      <c r="U18" t="s">
        <v>150</v>
      </c>
      <c r="V18" t="s">
        <v>155</v>
      </c>
      <c r="W18" t="str">
        <f>IF(M18=0,$M$6,M18)</f>
        <v>123 Main St, Bangalore, Karnataka, India</v>
      </c>
      <c r="X18">
        <v>4553</v>
      </c>
    </row>
    <row r="19" spans="1:24" x14ac:dyDescent="0.35">
      <c r="A19">
        <v>12</v>
      </c>
      <c r="B19" t="s">
        <v>60</v>
      </c>
      <c r="C19">
        <v>29</v>
      </c>
      <c r="D19" t="s">
        <v>8</v>
      </c>
      <c r="E19" t="s">
        <v>157</v>
      </c>
      <c r="F19" t="s">
        <v>61</v>
      </c>
      <c r="G19" s="8">
        <v>915555555555</v>
      </c>
      <c r="H19" t="s">
        <v>62</v>
      </c>
      <c r="I19">
        <v>11901</v>
      </c>
      <c r="J19" s="5">
        <f>RANK(Table1[[#This Row],[Salary]],$I$8:$I$55,0)</f>
        <v>35</v>
      </c>
      <c r="M19" t="s">
        <v>37</v>
      </c>
      <c r="P19">
        <v>2</v>
      </c>
      <c r="Q19" t="s">
        <v>35</v>
      </c>
      <c r="R19">
        <v>28</v>
      </c>
      <c r="S19" t="s">
        <v>12</v>
      </c>
      <c r="T19" t="s">
        <v>157</v>
      </c>
      <c r="U19" t="s">
        <v>36</v>
      </c>
      <c r="V19" t="s">
        <v>151</v>
      </c>
      <c r="W19" t="str">
        <f>IF(M19=0,$M$6,M19)</f>
        <v>456 Park Ave, Mumbai, Maharashtra, India</v>
      </c>
      <c r="X19">
        <v>31169</v>
      </c>
    </row>
    <row r="20" spans="1:24" x14ac:dyDescent="0.35">
      <c r="A20">
        <v>14</v>
      </c>
      <c r="B20" t="s">
        <v>63</v>
      </c>
      <c r="C20">
        <v>28</v>
      </c>
      <c r="D20" t="s">
        <v>12</v>
      </c>
      <c r="E20" t="s">
        <v>135</v>
      </c>
      <c r="F20" t="s">
        <v>64</v>
      </c>
      <c r="G20" s="8"/>
      <c r="H20" t="s">
        <v>65</v>
      </c>
      <c r="I20">
        <v>21978</v>
      </c>
      <c r="J20" s="5">
        <f>RANK(Table1[[#This Row],[Salary]],$I$8:$I$55,0)</f>
        <v>28</v>
      </c>
      <c r="M20" t="s">
        <v>40</v>
      </c>
      <c r="P20">
        <v>3</v>
      </c>
      <c r="Q20" t="s">
        <v>38</v>
      </c>
      <c r="R20">
        <v>27</v>
      </c>
      <c r="S20" t="s">
        <v>8</v>
      </c>
      <c r="T20" t="s">
        <v>158</v>
      </c>
      <c r="U20" t="s">
        <v>39</v>
      </c>
      <c r="V20" t="s">
        <v>152</v>
      </c>
      <c r="W20" t="str">
        <f>IF(M20=0,$M$6,M20)</f>
        <v>789 3rd St, Kolkata, West Bengal, India</v>
      </c>
      <c r="X20">
        <v>11116</v>
      </c>
    </row>
    <row r="21" spans="1:24" x14ac:dyDescent="0.35">
      <c r="A21" s="3">
        <v>15</v>
      </c>
      <c r="B21" s="3" t="s">
        <v>143</v>
      </c>
      <c r="C21" s="3">
        <v>30</v>
      </c>
      <c r="D21" s="3" t="s">
        <v>12</v>
      </c>
      <c r="E21" s="3" t="s">
        <v>138</v>
      </c>
      <c r="F21" s="3" t="s">
        <v>66</v>
      </c>
      <c r="G21" s="7">
        <v>918888888888</v>
      </c>
      <c r="H21" s="3" t="s">
        <v>161</v>
      </c>
      <c r="I21" s="6">
        <v>49400</v>
      </c>
      <c r="J21" s="5">
        <f>RANK(Table1[[#This Row],[Salary]],$I$8:$I$55,0)</f>
        <v>3</v>
      </c>
      <c r="M21" t="s">
        <v>43</v>
      </c>
      <c r="P21">
        <v>4</v>
      </c>
      <c r="Q21" t="s">
        <v>41</v>
      </c>
      <c r="R21">
        <v>33</v>
      </c>
      <c r="S21" t="s">
        <v>12</v>
      </c>
      <c r="T21" t="s">
        <v>137</v>
      </c>
      <c r="U21" t="s">
        <v>42</v>
      </c>
      <c r="V21" t="s">
        <v>153</v>
      </c>
      <c r="W21" t="str">
        <f>IF(M21=0,$M$6,M21)</f>
        <v>12 4th St, New Delhi, Delhi, India</v>
      </c>
      <c r="X21">
        <v>33457</v>
      </c>
    </row>
    <row r="22" spans="1:24" x14ac:dyDescent="0.35">
      <c r="A22">
        <v>16</v>
      </c>
      <c r="B22" t="s">
        <v>67</v>
      </c>
      <c r="C22">
        <v>32</v>
      </c>
      <c r="D22" t="s">
        <v>8</v>
      </c>
      <c r="E22" t="s">
        <v>139</v>
      </c>
      <c r="F22" t="s">
        <v>68</v>
      </c>
      <c r="G22" s="8">
        <v>911234567890</v>
      </c>
      <c r="H22" t="s">
        <v>69</v>
      </c>
      <c r="I22">
        <v>28476</v>
      </c>
      <c r="J22" s="5">
        <f>RANK(Table1[[#This Row],[Salary]],$I$8:$I$55,0)</f>
        <v>25</v>
      </c>
      <c r="M22">
        <v>0</v>
      </c>
      <c r="P22">
        <v>5</v>
      </c>
      <c r="Q22" t="s">
        <v>141</v>
      </c>
      <c r="R22">
        <v>29</v>
      </c>
      <c r="S22" t="s">
        <v>12</v>
      </c>
      <c r="T22" t="s">
        <v>137</v>
      </c>
      <c r="U22" t="s">
        <v>44</v>
      </c>
      <c r="W22" t="str">
        <f>IF(M22=0,$M$6,M22)</f>
        <v>Address not available</v>
      </c>
      <c r="X22">
        <v>21918</v>
      </c>
    </row>
    <row r="23" spans="1:24" x14ac:dyDescent="0.35">
      <c r="A23">
        <v>17</v>
      </c>
      <c r="B23" t="s">
        <v>70</v>
      </c>
      <c r="C23">
        <v>26</v>
      </c>
      <c r="D23" t="s">
        <v>12</v>
      </c>
      <c r="E23" t="s">
        <v>140</v>
      </c>
      <c r="F23" t="s">
        <v>71</v>
      </c>
      <c r="G23" s="8">
        <v>918765432109</v>
      </c>
      <c r="H23" t="s">
        <v>161</v>
      </c>
      <c r="I23">
        <v>40088</v>
      </c>
      <c r="J23" s="5">
        <f>RANK(Table1[[#This Row],[Salary]],$I$8:$I$55,0)</f>
        <v>11</v>
      </c>
      <c r="M23" t="s">
        <v>47</v>
      </c>
      <c r="P23">
        <v>6</v>
      </c>
      <c r="Q23" t="s">
        <v>45</v>
      </c>
      <c r="R23">
        <v>34</v>
      </c>
      <c r="S23" t="s">
        <v>8</v>
      </c>
      <c r="T23" t="s">
        <v>140</v>
      </c>
      <c r="U23" t="s">
        <v>46</v>
      </c>
      <c r="W23" t="str">
        <f>IF(M23=0,$M$6,M23)</f>
        <v>345 5th St, Jaipur, Rajasthan, India</v>
      </c>
      <c r="X23">
        <v>33418</v>
      </c>
    </row>
    <row r="24" spans="1:24" x14ac:dyDescent="0.35">
      <c r="A24">
        <v>18</v>
      </c>
      <c r="B24" t="s">
        <v>7</v>
      </c>
      <c r="C24">
        <v>28</v>
      </c>
      <c r="D24" t="s">
        <v>8</v>
      </c>
      <c r="E24" t="s">
        <v>140</v>
      </c>
      <c r="F24" t="s">
        <v>9</v>
      </c>
      <c r="G24" s="8">
        <v>919876543210</v>
      </c>
      <c r="H24" t="s">
        <v>10</v>
      </c>
      <c r="I24">
        <v>2949</v>
      </c>
      <c r="J24" s="5">
        <f>RANK(Table1[[#This Row],[Salary]],$I$8:$I$55,0)</f>
        <v>47</v>
      </c>
      <c r="M24" t="s">
        <v>56</v>
      </c>
      <c r="P24">
        <v>10</v>
      </c>
      <c r="Q24" t="s">
        <v>142</v>
      </c>
      <c r="R24">
        <v>35</v>
      </c>
      <c r="S24" t="s">
        <v>8</v>
      </c>
      <c r="T24" t="s">
        <v>136</v>
      </c>
      <c r="U24" t="s">
        <v>55</v>
      </c>
      <c r="W24" t="str">
        <f>IF(M24=0,$M$6,M24)</f>
        <v>234 8th St, Pune, Maharashtra, India</v>
      </c>
      <c r="X24">
        <v>9818</v>
      </c>
    </row>
    <row r="25" spans="1:24" x14ac:dyDescent="0.35">
      <c r="A25">
        <v>19</v>
      </c>
      <c r="B25" t="s">
        <v>11</v>
      </c>
      <c r="C25">
        <v>30</v>
      </c>
      <c r="D25" t="s">
        <v>12</v>
      </c>
      <c r="E25" t="s">
        <v>140</v>
      </c>
      <c r="F25" t="s">
        <v>13</v>
      </c>
      <c r="G25" s="8">
        <v>915555555555</v>
      </c>
      <c r="H25" t="s">
        <v>14</v>
      </c>
      <c r="I25">
        <v>3337</v>
      </c>
      <c r="J25" s="5">
        <f>RANK(Table1[[#This Row],[Salary]],$I$8:$I$55,0)</f>
        <v>45</v>
      </c>
      <c r="M25" t="s">
        <v>62</v>
      </c>
      <c r="P25">
        <v>12</v>
      </c>
      <c r="Q25" t="s">
        <v>60</v>
      </c>
      <c r="R25">
        <v>29</v>
      </c>
      <c r="S25" t="s">
        <v>8</v>
      </c>
      <c r="T25" t="s">
        <v>157</v>
      </c>
      <c r="U25" t="s">
        <v>61</v>
      </c>
      <c r="V25">
        <v>915555555555</v>
      </c>
      <c r="W25" t="str">
        <f>IF(M25=0,$M$6,M25)</f>
        <v>789 10th St, Bangalore, Karnataka, India</v>
      </c>
      <c r="X25">
        <v>11901</v>
      </c>
    </row>
    <row r="26" spans="1:24" x14ac:dyDescent="0.35">
      <c r="A26">
        <v>20</v>
      </c>
      <c r="B26" t="s">
        <v>144</v>
      </c>
      <c r="C26">
        <v>32</v>
      </c>
      <c r="D26" t="s">
        <v>8</v>
      </c>
      <c r="E26" t="s">
        <v>138</v>
      </c>
      <c r="F26" t="s">
        <v>15</v>
      </c>
      <c r="G26" s="8">
        <v>919999999999</v>
      </c>
      <c r="H26" t="s">
        <v>161</v>
      </c>
      <c r="I26">
        <v>2857</v>
      </c>
      <c r="J26" s="5">
        <f>RANK(Table1[[#This Row],[Salary]],$I$8:$I$55,0)</f>
        <v>48</v>
      </c>
      <c r="M26" t="s">
        <v>65</v>
      </c>
      <c r="P26">
        <v>14</v>
      </c>
      <c r="Q26" t="s">
        <v>63</v>
      </c>
      <c r="R26">
        <v>28</v>
      </c>
      <c r="S26" t="s">
        <v>12</v>
      </c>
      <c r="T26" t="s">
        <v>135</v>
      </c>
      <c r="U26" t="s">
        <v>64</v>
      </c>
      <c r="W26" t="str">
        <f>IF(M26=0,$M$6,M26)</f>
        <v>654 12th St, Kolkata, West Bengal, India</v>
      </c>
      <c r="X26">
        <v>21978</v>
      </c>
    </row>
    <row r="27" spans="1:24" x14ac:dyDescent="0.35">
      <c r="A27">
        <v>21</v>
      </c>
      <c r="B27" t="s">
        <v>16</v>
      </c>
      <c r="C27">
        <v>26</v>
      </c>
      <c r="D27" t="s">
        <v>12</v>
      </c>
      <c r="E27" t="s">
        <v>139</v>
      </c>
      <c r="F27" t="s">
        <v>17</v>
      </c>
      <c r="G27" s="8"/>
      <c r="H27" t="s">
        <v>18</v>
      </c>
      <c r="I27">
        <v>35969</v>
      </c>
      <c r="J27" s="5">
        <f>RANK(Table1[[#This Row],[Salary]],$I$8:$I$55,0)</f>
        <v>15</v>
      </c>
      <c r="M27" t="s">
        <v>69</v>
      </c>
      <c r="P27">
        <v>16</v>
      </c>
      <c r="Q27" t="s">
        <v>67</v>
      </c>
      <c r="R27">
        <v>32</v>
      </c>
      <c r="S27" t="s">
        <v>8</v>
      </c>
      <c r="T27" t="s">
        <v>139</v>
      </c>
      <c r="U27" t="s">
        <v>68</v>
      </c>
      <c r="V27">
        <v>911234567890</v>
      </c>
      <c r="W27" t="str">
        <f>IF(M27=0,$M$6,M27)</f>
        <v>987 13th St, New Delhi, Delhi, India</v>
      </c>
      <c r="X27">
        <v>28476</v>
      </c>
    </row>
    <row r="28" spans="1:24" x14ac:dyDescent="0.35">
      <c r="A28" s="3">
        <v>22</v>
      </c>
      <c r="B28" s="3" t="s">
        <v>19</v>
      </c>
      <c r="C28" s="3">
        <v>33</v>
      </c>
      <c r="D28" s="3" t="s">
        <v>8</v>
      </c>
      <c r="E28" s="3" t="s">
        <v>140</v>
      </c>
      <c r="F28" s="3" t="s">
        <v>20</v>
      </c>
      <c r="G28" s="7">
        <v>918888888888</v>
      </c>
      <c r="H28" s="3" t="s">
        <v>21</v>
      </c>
      <c r="I28" s="6">
        <v>49681</v>
      </c>
      <c r="J28" s="5">
        <f>RANK(Table1[[#This Row],[Salary]],$I$8:$I$55,0)</f>
        <v>2</v>
      </c>
      <c r="M28">
        <v>0</v>
      </c>
      <c r="P28">
        <v>17</v>
      </c>
      <c r="Q28" t="s">
        <v>70</v>
      </c>
      <c r="R28">
        <v>26</v>
      </c>
      <c r="S28" t="s">
        <v>12</v>
      </c>
      <c r="T28" t="s">
        <v>140</v>
      </c>
      <c r="U28" t="s">
        <v>71</v>
      </c>
      <c r="V28">
        <v>918765432109</v>
      </c>
      <c r="W28" t="str">
        <f>IF(M28=0,$M$6,M28)</f>
        <v>Address not available</v>
      </c>
      <c r="X28">
        <v>40088</v>
      </c>
    </row>
    <row r="29" spans="1:24" x14ac:dyDescent="0.35">
      <c r="A29">
        <v>24</v>
      </c>
      <c r="B29" t="s">
        <v>22</v>
      </c>
      <c r="C29">
        <v>29</v>
      </c>
      <c r="D29" t="s">
        <v>8</v>
      </c>
      <c r="E29" t="s">
        <v>136</v>
      </c>
      <c r="F29" t="s">
        <v>23</v>
      </c>
      <c r="G29" s="8">
        <v>916666666666</v>
      </c>
      <c r="H29" t="s">
        <v>161</v>
      </c>
      <c r="I29">
        <v>15853</v>
      </c>
      <c r="J29" s="5">
        <f>RANK(Table1[[#This Row],[Salary]],$I$8:$I$55,0)</f>
        <v>32</v>
      </c>
      <c r="M29" t="s">
        <v>10</v>
      </c>
      <c r="P29">
        <v>18</v>
      </c>
      <c r="Q29" t="s">
        <v>7</v>
      </c>
      <c r="R29">
        <v>28</v>
      </c>
      <c r="S29" t="s">
        <v>8</v>
      </c>
      <c r="T29" t="s">
        <v>140</v>
      </c>
      <c r="U29" t="s">
        <v>9</v>
      </c>
      <c r="V29">
        <v>919876543210</v>
      </c>
      <c r="W29" t="str">
        <f>IF(M29=0,$M$6,M29)</f>
        <v>654 14th St, Jaipur, Rajasthan, India</v>
      </c>
      <c r="X29">
        <v>2949</v>
      </c>
    </row>
    <row r="30" spans="1:24" x14ac:dyDescent="0.35">
      <c r="A30">
        <v>25</v>
      </c>
      <c r="B30" t="s">
        <v>24</v>
      </c>
      <c r="C30">
        <v>30</v>
      </c>
      <c r="D30" t="s">
        <v>12</v>
      </c>
      <c r="E30" t="s">
        <v>157</v>
      </c>
      <c r="F30" t="s">
        <v>25</v>
      </c>
      <c r="G30" s="8">
        <v>915555555555</v>
      </c>
      <c r="H30" t="s">
        <v>26</v>
      </c>
      <c r="I30">
        <v>6926</v>
      </c>
      <c r="J30" s="5">
        <f>RANK(Table1[[#This Row],[Salary]],$I$8:$I$55,0)</f>
        <v>42</v>
      </c>
      <c r="M30" t="s">
        <v>14</v>
      </c>
      <c r="P30">
        <v>19</v>
      </c>
      <c r="Q30" t="s">
        <v>11</v>
      </c>
      <c r="R30">
        <v>30</v>
      </c>
      <c r="S30" t="s">
        <v>12</v>
      </c>
      <c r="T30" t="s">
        <v>140</v>
      </c>
      <c r="U30" t="s">
        <v>13</v>
      </c>
      <c r="V30">
        <v>915555555555</v>
      </c>
      <c r="W30" t="str">
        <f>IF(M30=0,$M$6,M30)</f>
        <v>321 15th St, Chennai, Tamil Nadu, India</v>
      </c>
      <c r="X30">
        <v>3337</v>
      </c>
    </row>
    <row r="31" spans="1:24" x14ac:dyDescent="0.35">
      <c r="A31" s="3">
        <v>26</v>
      </c>
      <c r="B31" s="3" t="s">
        <v>27</v>
      </c>
      <c r="C31" s="3">
        <v>31</v>
      </c>
      <c r="D31" s="3" t="s">
        <v>8</v>
      </c>
      <c r="E31" s="3" t="s">
        <v>138</v>
      </c>
      <c r="F31" s="3" t="s">
        <v>28</v>
      </c>
      <c r="G31" s="7"/>
      <c r="H31" s="3" t="s">
        <v>29</v>
      </c>
      <c r="I31" s="3">
        <v>45678</v>
      </c>
      <c r="J31" s="5">
        <f>RANK(Table1[[#This Row],[Salary]],$I$8:$I$55,0)</f>
        <v>6</v>
      </c>
      <c r="M31">
        <v>0</v>
      </c>
      <c r="P31">
        <v>20</v>
      </c>
      <c r="Q31" t="s">
        <v>144</v>
      </c>
      <c r="R31">
        <v>32</v>
      </c>
      <c r="S31" t="s">
        <v>8</v>
      </c>
      <c r="T31" t="s">
        <v>138</v>
      </c>
      <c r="U31" t="s">
        <v>15</v>
      </c>
      <c r="V31">
        <v>919999999999</v>
      </c>
      <c r="W31" t="str">
        <f>IF(M31=0,$M$6,M31)</f>
        <v>Address not available</v>
      </c>
      <c r="X31">
        <v>2857</v>
      </c>
    </row>
    <row r="32" spans="1:24" x14ac:dyDescent="0.35">
      <c r="A32">
        <v>27</v>
      </c>
      <c r="B32" t="s">
        <v>30</v>
      </c>
      <c r="C32">
        <v>28</v>
      </c>
      <c r="D32" t="s">
        <v>12</v>
      </c>
      <c r="E32" t="s">
        <v>139</v>
      </c>
      <c r="F32" t="s">
        <v>31</v>
      </c>
      <c r="G32" s="8">
        <v>917777777777</v>
      </c>
      <c r="H32" t="s">
        <v>32</v>
      </c>
      <c r="I32">
        <v>8022</v>
      </c>
      <c r="J32" s="5">
        <f>RANK(Table1[[#This Row],[Salary]],$I$8:$I$55,0)</f>
        <v>41</v>
      </c>
      <c r="M32" t="s">
        <v>18</v>
      </c>
      <c r="P32">
        <v>21</v>
      </c>
      <c r="Q32" t="s">
        <v>16</v>
      </c>
      <c r="R32">
        <v>26</v>
      </c>
      <c r="S32" t="s">
        <v>12</v>
      </c>
      <c r="T32" t="s">
        <v>139</v>
      </c>
      <c r="U32" t="s">
        <v>17</v>
      </c>
      <c r="W32" t="str">
        <f>IF(M32=0,$M$6,M32)</f>
        <v>789 16th St, Hyderabad, Telangana, India</v>
      </c>
      <c r="X32">
        <v>35969</v>
      </c>
    </row>
    <row r="33" spans="1:24" x14ac:dyDescent="0.35">
      <c r="A33">
        <v>28</v>
      </c>
      <c r="B33" t="s">
        <v>72</v>
      </c>
      <c r="C33">
        <v>34</v>
      </c>
      <c r="D33" t="s">
        <v>8</v>
      </c>
      <c r="E33" t="s">
        <v>140</v>
      </c>
      <c r="F33" t="s">
        <v>73</v>
      </c>
      <c r="G33" s="8">
        <v>918888888888</v>
      </c>
      <c r="H33" t="s">
        <v>74</v>
      </c>
      <c r="I33">
        <v>3484</v>
      </c>
      <c r="J33" s="5">
        <f>RANK(Table1[[#This Row],[Salary]],$I$8:$I$55,0)</f>
        <v>44</v>
      </c>
      <c r="M33">
        <v>0</v>
      </c>
      <c r="P33">
        <v>24</v>
      </c>
      <c r="Q33" t="s">
        <v>22</v>
      </c>
      <c r="R33">
        <v>29</v>
      </c>
      <c r="S33" t="s">
        <v>8</v>
      </c>
      <c r="T33" t="s">
        <v>136</v>
      </c>
      <c r="U33" t="s">
        <v>23</v>
      </c>
      <c r="V33">
        <v>916666666666</v>
      </c>
      <c r="W33" t="str">
        <f>IF(M33=0,$M$6,M33)</f>
        <v>Address not available</v>
      </c>
      <c r="X33">
        <v>15853</v>
      </c>
    </row>
    <row r="34" spans="1:24" x14ac:dyDescent="0.35">
      <c r="A34">
        <v>29</v>
      </c>
      <c r="B34" t="s">
        <v>75</v>
      </c>
      <c r="C34">
        <v>26</v>
      </c>
      <c r="D34" t="s">
        <v>12</v>
      </c>
      <c r="E34" t="s">
        <v>158</v>
      </c>
      <c r="F34" t="s">
        <v>76</v>
      </c>
      <c r="G34" s="8">
        <v>917777777777</v>
      </c>
      <c r="H34" t="s">
        <v>77</v>
      </c>
      <c r="I34">
        <v>11342</v>
      </c>
      <c r="J34" s="5">
        <f>RANK(Table1[[#This Row],[Salary]],$I$8:$I$55,0)</f>
        <v>36</v>
      </c>
      <c r="M34" t="s">
        <v>26</v>
      </c>
      <c r="P34">
        <v>25</v>
      </c>
      <c r="Q34" t="s">
        <v>24</v>
      </c>
      <c r="R34">
        <v>30</v>
      </c>
      <c r="S34" t="s">
        <v>12</v>
      </c>
      <c r="T34" t="s">
        <v>157</v>
      </c>
      <c r="U34" t="s">
        <v>25</v>
      </c>
      <c r="V34">
        <v>915555555555</v>
      </c>
      <c r="W34" t="str">
        <f>IF(M34=0,$M$6,M34)</f>
        <v>567 19th St, Bangalore, Karnataka, India</v>
      </c>
      <c r="X34">
        <v>6926</v>
      </c>
    </row>
    <row r="35" spans="1:24" x14ac:dyDescent="0.35">
      <c r="A35" s="3">
        <v>30</v>
      </c>
      <c r="B35" s="3" t="s">
        <v>145</v>
      </c>
      <c r="C35" s="3">
        <v>29</v>
      </c>
      <c r="D35" s="3" t="s">
        <v>8</v>
      </c>
      <c r="E35" s="3" t="s">
        <v>137</v>
      </c>
      <c r="F35" s="3" t="s">
        <v>78</v>
      </c>
      <c r="G35" s="7"/>
      <c r="H35" s="3" t="s">
        <v>79</v>
      </c>
      <c r="I35" s="3">
        <v>40940</v>
      </c>
      <c r="J35" s="5">
        <f>RANK(Table1[[#This Row],[Salary]],$I$8:$I$55,0)</f>
        <v>10</v>
      </c>
      <c r="M35" t="s">
        <v>32</v>
      </c>
      <c r="P35">
        <v>27</v>
      </c>
      <c r="Q35" t="s">
        <v>30</v>
      </c>
      <c r="R35">
        <v>28</v>
      </c>
      <c r="S35" t="s">
        <v>12</v>
      </c>
      <c r="T35" t="s">
        <v>139</v>
      </c>
      <c r="U35" t="s">
        <v>31</v>
      </c>
      <c r="V35">
        <v>917777777777</v>
      </c>
      <c r="W35" t="str">
        <f>IF(M35=0,$M$6,M35)</f>
        <v>321 21st St, Kolkata, West Bengal, India</v>
      </c>
      <c r="X35">
        <v>8022</v>
      </c>
    </row>
    <row r="36" spans="1:24" x14ac:dyDescent="0.35">
      <c r="A36" s="3">
        <v>31</v>
      </c>
      <c r="B36" s="3" t="s">
        <v>52</v>
      </c>
      <c r="C36" s="3">
        <v>27</v>
      </c>
      <c r="D36" s="3" t="s">
        <v>12</v>
      </c>
      <c r="E36" s="3" t="s">
        <v>137</v>
      </c>
      <c r="F36" s="3" t="s">
        <v>80</v>
      </c>
      <c r="G36" s="7">
        <v>915555555555</v>
      </c>
      <c r="H36" s="3" t="s">
        <v>161</v>
      </c>
      <c r="I36" s="3">
        <v>41841</v>
      </c>
      <c r="J36" s="5">
        <f>RANK(Table1[[#This Row],[Salary]],$I$8:$I$55,0)</f>
        <v>8</v>
      </c>
      <c r="M36" t="s">
        <v>74</v>
      </c>
      <c r="P36">
        <v>28</v>
      </c>
      <c r="Q36" t="s">
        <v>72</v>
      </c>
      <c r="R36">
        <v>34</v>
      </c>
      <c r="S36" t="s">
        <v>8</v>
      </c>
      <c r="T36" t="s">
        <v>140</v>
      </c>
      <c r="U36" t="s">
        <v>73</v>
      </c>
      <c r="V36">
        <v>918888888888</v>
      </c>
      <c r="W36" t="str">
        <f>IF(M36=0,$M$6,M36)</f>
        <v>901 22nd St, Patna, Bihar, India</v>
      </c>
      <c r="X36">
        <v>3484</v>
      </c>
    </row>
    <row r="37" spans="1:24" x14ac:dyDescent="0.35">
      <c r="A37">
        <v>32</v>
      </c>
      <c r="B37" t="s">
        <v>81</v>
      </c>
      <c r="C37">
        <v>32</v>
      </c>
      <c r="D37" t="s">
        <v>8</v>
      </c>
      <c r="E37" t="s">
        <v>138</v>
      </c>
      <c r="F37" t="s">
        <v>82</v>
      </c>
      <c r="G37" s="8"/>
      <c r="H37" t="s">
        <v>83</v>
      </c>
      <c r="I37">
        <v>39835</v>
      </c>
      <c r="J37" s="5">
        <f>RANK(Table1[[#This Row],[Salary]],$I$8:$I$55,0)</f>
        <v>12</v>
      </c>
      <c r="M37" t="s">
        <v>77</v>
      </c>
      <c r="P37">
        <v>29</v>
      </c>
      <c r="Q37" t="s">
        <v>75</v>
      </c>
      <c r="R37">
        <v>26</v>
      </c>
      <c r="S37" t="s">
        <v>12</v>
      </c>
      <c r="T37" t="s">
        <v>158</v>
      </c>
      <c r="U37" t="s">
        <v>76</v>
      </c>
      <c r="V37">
        <v>917777777777</v>
      </c>
      <c r="W37" t="str">
        <f>IF(M37=0,$M$6,M37)</f>
        <v>234 23rd St, Bhopal, Madhya Pradesh, India</v>
      </c>
      <c r="X37">
        <v>11342</v>
      </c>
    </row>
    <row r="38" spans="1:24" x14ac:dyDescent="0.35">
      <c r="A38">
        <v>33</v>
      </c>
      <c r="B38" t="s">
        <v>146</v>
      </c>
      <c r="C38">
        <v>33</v>
      </c>
      <c r="D38" t="s">
        <v>12</v>
      </c>
      <c r="E38" t="s">
        <v>139</v>
      </c>
      <c r="F38" t="s">
        <v>84</v>
      </c>
      <c r="G38" s="8">
        <v>916666666666</v>
      </c>
      <c r="H38" t="s">
        <v>85</v>
      </c>
      <c r="I38">
        <v>9577</v>
      </c>
      <c r="J38" s="5">
        <f>RANK(Table1[[#This Row],[Salary]],$I$8:$I$55,0)</f>
        <v>39</v>
      </c>
      <c r="M38" t="s">
        <v>83</v>
      </c>
      <c r="P38">
        <v>32</v>
      </c>
      <c r="Q38" t="s">
        <v>81</v>
      </c>
      <c r="R38">
        <v>32</v>
      </c>
      <c r="S38" t="s">
        <v>8</v>
      </c>
      <c r="T38" t="s">
        <v>138</v>
      </c>
      <c r="U38" t="s">
        <v>82</v>
      </c>
      <c r="W38" t="str">
        <f>IF(M38=0,$M$6,M38)</f>
        <v>789 25th St, Jaipur, Rajasthan, India</v>
      </c>
      <c r="X38">
        <v>39835</v>
      </c>
    </row>
    <row r="39" spans="1:24" x14ac:dyDescent="0.35">
      <c r="A39">
        <v>34</v>
      </c>
      <c r="B39" t="s">
        <v>86</v>
      </c>
      <c r="C39">
        <v>30</v>
      </c>
      <c r="D39" t="s">
        <v>8</v>
      </c>
      <c r="E39" t="s">
        <v>140</v>
      </c>
      <c r="F39" t="s">
        <v>87</v>
      </c>
      <c r="G39" s="8"/>
      <c r="H39" t="s">
        <v>88</v>
      </c>
      <c r="I39">
        <v>29480</v>
      </c>
      <c r="J39" s="5">
        <f>RANK(Table1[[#This Row],[Salary]],$I$8:$I$55,0)</f>
        <v>24</v>
      </c>
      <c r="M39" t="s">
        <v>85</v>
      </c>
      <c r="P39">
        <v>33</v>
      </c>
      <c r="Q39" t="s">
        <v>146</v>
      </c>
      <c r="R39">
        <v>33</v>
      </c>
      <c r="S39" t="s">
        <v>12</v>
      </c>
      <c r="T39" t="s">
        <v>139</v>
      </c>
      <c r="U39" t="s">
        <v>84</v>
      </c>
      <c r="V39">
        <v>916666666666</v>
      </c>
      <c r="W39" t="str">
        <f>IF(M39=0,$M$6,M39)</f>
        <v>654 26th St, Chennai, Tamil Nadu, India</v>
      </c>
      <c r="X39">
        <v>9577</v>
      </c>
    </row>
    <row r="40" spans="1:24" x14ac:dyDescent="0.35">
      <c r="A40">
        <v>35</v>
      </c>
      <c r="B40" t="s">
        <v>89</v>
      </c>
      <c r="C40">
        <v>30</v>
      </c>
      <c r="D40" t="s">
        <v>12</v>
      </c>
      <c r="E40" t="s">
        <v>158</v>
      </c>
      <c r="F40" t="s">
        <v>90</v>
      </c>
      <c r="G40" s="8">
        <v>915555555555</v>
      </c>
      <c r="H40" t="s">
        <v>91</v>
      </c>
      <c r="I40">
        <v>14254</v>
      </c>
      <c r="J40" s="5">
        <f>RANK(Table1[[#This Row],[Salary]],$I$8:$I$55,0)</f>
        <v>34</v>
      </c>
      <c r="M40" t="s">
        <v>88</v>
      </c>
      <c r="P40">
        <v>34</v>
      </c>
      <c r="Q40" t="s">
        <v>86</v>
      </c>
      <c r="R40">
        <v>30</v>
      </c>
      <c r="S40" t="s">
        <v>8</v>
      </c>
      <c r="T40" t="s">
        <v>140</v>
      </c>
      <c r="U40" t="s">
        <v>87</v>
      </c>
      <c r="W40" t="str">
        <f>IF(M40=0,$M$6,M40)</f>
        <v>321 27th St, Hyderabad, Telangana, India</v>
      </c>
      <c r="X40">
        <v>29480</v>
      </c>
    </row>
    <row r="41" spans="1:24" x14ac:dyDescent="0.35">
      <c r="A41">
        <v>36</v>
      </c>
      <c r="B41" t="s">
        <v>92</v>
      </c>
      <c r="C41">
        <v>29</v>
      </c>
      <c r="D41" t="s">
        <v>8</v>
      </c>
      <c r="E41" t="s">
        <v>137</v>
      </c>
      <c r="F41" t="s">
        <v>93</v>
      </c>
      <c r="G41" s="8">
        <v>917777777777</v>
      </c>
      <c r="H41" t="s">
        <v>94</v>
      </c>
      <c r="I41">
        <v>37358</v>
      </c>
      <c r="J41" s="5">
        <f>RANK(Table1[[#This Row],[Salary]],$I$8:$I$55,0)</f>
        <v>14</v>
      </c>
      <c r="M41" t="s">
        <v>91</v>
      </c>
      <c r="P41">
        <v>35</v>
      </c>
      <c r="Q41" t="s">
        <v>89</v>
      </c>
      <c r="R41">
        <v>30</v>
      </c>
      <c r="S41" t="s">
        <v>12</v>
      </c>
      <c r="T41" t="s">
        <v>158</v>
      </c>
      <c r="U41" t="s">
        <v>90</v>
      </c>
      <c r="V41">
        <v>915555555555</v>
      </c>
      <c r="W41" t="str">
        <f>IF(M41=0,$M$6,M41)</f>
        <v>901 28th St, Pune, Maharashtra, India</v>
      </c>
      <c r="X41">
        <v>14254</v>
      </c>
    </row>
    <row r="42" spans="1:24" x14ac:dyDescent="0.35">
      <c r="A42" s="3">
        <v>37</v>
      </c>
      <c r="B42" s="3" t="s">
        <v>147</v>
      </c>
      <c r="C42" s="3">
        <v>31</v>
      </c>
      <c r="D42" s="3" t="s">
        <v>12</v>
      </c>
      <c r="E42" s="3" t="s">
        <v>137</v>
      </c>
      <c r="F42" s="3" t="s">
        <v>95</v>
      </c>
      <c r="G42" s="7"/>
      <c r="H42" s="3" t="s">
        <v>96</v>
      </c>
      <c r="I42" s="3">
        <v>48367</v>
      </c>
      <c r="J42" s="5">
        <f>RANK(Table1[[#This Row],[Salary]],$I$8:$I$55,0)</f>
        <v>4</v>
      </c>
      <c r="M42" t="s">
        <v>94</v>
      </c>
      <c r="P42">
        <v>36</v>
      </c>
      <c r="Q42" t="s">
        <v>92</v>
      </c>
      <c r="R42">
        <v>29</v>
      </c>
      <c r="S42" t="s">
        <v>8</v>
      </c>
      <c r="T42" t="s">
        <v>137</v>
      </c>
      <c r="U42" t="s">
        <v>93</v>
      </c>
      <c r="V42">
        <v>917777777777</v>
      </c>
      <c r="W42" t="str">
        <f>IF(M42=0,$M$6,M42)</f>
        <v>567 29th St, Ahmedabad, Gujarat, India</v>
      </c>
      <c r="X42">
        <v>37358</v>
      </c>
    </row>
    <row r="43" spans="1:24" x14ac:dyDescent="0.35">
      <c r="A43">
        <v>38</v>
      </c>
      <c r="B43" t="s">
        <v>97</v>
      </c>
      <c r="C43">
        <v>28</v>
      </c>
      <c r="D43" t="s">
        <v>8</v>
      </c>
      <c r="E43" t="s">
        <v>135</v>
      </c>
      <c r="F43" t="s">
        <v>98</v>
      </c>
      <c r="G43" s="8">
        <v>918888888888</v>
      </c>
      <c r="H43" t="s">
        <v>99</v>
      </c>
      <c r="I43">
        <v>37473</v>
      </c>
      <c r="J43" s="5">
        <f>RANK(Table1[[#This Row],[Salary]],$I$8:$I$55,0)</f>
        <v>13</v>
      </c>
      <c r="M43" t="s">
        <v>99</v>
      </c>
      <c r="P43">
        <v>38</v>
      </c>
      <c r="Q43" t="s">
        <v>97</v>
      </c>
      <c r="R43">
        <v>28</v>
      </c>
      <c r="S43" t="s">
        <v>8</v>
      </c>
      <c r="T43" t="s">
        <v>135</v>
      </c>
      <c r="U43" t="s">
        <v>98</v>
      </c>
      <c r="V43">
        <v>918888888888</v>
      </c>
      <c r="W43" t="str">
        <f>IF(M43=0,$M$6,M43)</f>
        <v>789 31st St, Mumbai, Maharashtra, India</v>
      </c>
      <c r="X43">
        <v>37473</v>
      </c>
    </row>
    <row r="44" spans="1:24" x14ac:dyDescent="0.35">
      <c r="A44">
        <v>39</v>
      </c>
      <c r="B44" t="s">
        <v>100</v>
      </c>
      <c r="C44">
        <v>33</v>
      </c>
      <c r="D44" t="s">
        <v>12</v>
      </c>
      <c r="E44" t="s">
        <v>135</v>
      </c>
      <c r="F44" t="s">
        <v>101</v>
      </c>
      <c r="G44" s="8">
        <v>919999999999</v>
      </c>
      <c r="H44" t="s">
        <v>102</v>
      </c>
      <c r="I44">
        <v>30628</v>
      </c>
      <c r="J44" s="5">
        <f>RANK(Table1[[#This Row],[Salary]],$I$8:$I$55,0)</f>
        <v>23</v>
      </c>
      <c r="M44" t="s">
        <v>102</v>
      </c>
      <c r="P44">
        <v>39</v>
      </c>
      <c r="Q44" t="s">
        <v>100</v>
      </c>
      <c r="R44">
        <v>33</v>
      </c>
      <c r="S44" t="s">
        <v>12</v>
      </c>
      <c r="T44" t="s">
        <v>135</v>
      </c>
      <c r="U44" t="s">
        <v>101</v>
      </c>
      <c r="V44">
        <v>919999999999</v>
      </c>
      <c r="W44" t="str">
        <f>IF(M44=0,$M$6,M44)</f>
        <v>901 32nd St, Kolkata, West Bengal, India</v>
      </c>
      <c r="X44">
        <v>30628</v>
      </c>
    </row>
    <row r="45" spans="1:24" x14ac:dyDescent="0.35">
      <c r="A45">
        <v>40</v>
      </c>
      <c r="B45" t="s">
        <v>103</v>
      </c>
      <c r="C45">
        <v>30</v>
      </c>
      <c r="D45" t="s">
        <v>8</v>
      </c>
      <c r="E45" t="s">
        <v>159</v>
      </c>
      <c r="F45" t="s">
        <v>104</v>
      </c>
      <c r="G45" s="8"/>
      <c r="H45" t="s">
        <v>105</v>
      </c>
      <c r="I45">
        <v>22018</v>
      </c>
      <c r="J45" s="5">
        <f>RANK(Table1[[#This Row],[Salary]],$I$8:$I$55,0)</f>
        <v>27</v>
      </c>
      <c r="M45" t="s">
        <v>105</v>
      </c>
      <c r="P45">
        <v>40</v>
      </c>
      <c r="Q45" t="s">
        <v>103</v>
      </c>
      <c r="R45">
        <v>30</v>
      </c>
      <c r="S45" t="s">
        <v>8</v>
      </c>
      <c r="T45" t="s">
        <v>159</v>
      </c>
      <c r="U45" t="s">
        <v>104</v>
      </c>
      <c r="W45" t="str">
        <f>IF(M45=0,$M$6,M45)</f>
        <v>321 33rd St, Patna, Bihar, India</v>
      </c>
      <c r="X45">
        <v>22018</v>
      </c>
    </row>
    <row r="46" spans="1:24" x14ac:dyDescent="0.35">
      <c r="A46">
        <v>41</v>
      </c>
      <c r="B46" t="s">
        <v>106</v>
      </c>
      <c r="C46">
        <v>27</v>
      </c>
      <c r="D46" t="s">
        <v>12</v>
      </c>
      <c r="E46" t="s">
        <v>140</v>
      </c>
      <c r="F46" t="s">
        <v>107</v>
      </c>
      <c r="G46" s="8">
        <v>917777777777</v>
      </c>
      <c r="H46" t="s">
        <v>108</v>
      </c>
      <c r="I46">
        <v>35747</v>
      </c>
      <c r="J46" s="5">
        <f>RANK(Table1[[#This Row],[Salary]],$I$8:$I$55,0)</f>
        <v>16</v>
      </c>
      <c r="M46" t="s">
        <v>108</v>
      </c>
      <c r="P46">
        <v>41</v>
      </c>
      <c r="Q46" t="s">
        <v>106</v>
      </c>
      <c r="R46">
        <v>27</v>
      </c>
      <c r="S46" t="s">
        <v>12</v>
      </c>
      <c r="T46" t="s">
        <v>140</v>
      </c>
      <c r="U46" t="s">
        <v>107</v>
      </c>
      <c r="V46">
        <v>917777777777</v>
      </c>
      <c r="W46" t="str">
        <f>IF(M46=0,$M$6,M46)</f>
        <v>234 34th St, Bhopal, Madhya Pradesh, India</v>
      </c>
      <c r="X46">
        <v>35747</v>
      </c>
    </row>
    <row r="47" spans="1:24" x14ac:dyDescent="0.35">
      <c r="A47">
        <v>42</v>
      </c>
      <c r="B47" t="s">
        <v>109</v>
      </c>
      <c r="C47">
        <v>29</v>
      </c>
      <c r="D47" t="s">
        <v>8</v>
      </c>
      <c r="E47" t="s">
        <v>137</v>
      </c>
      <c r="F47" t="s">
        <v>110</v>
      </c>
      <c r="G47" s="8"/>
      <c r="H47" t="s">
        <v>111</v>
      </c>
      <c r="I47">
        <v>32258</v>
      </c>
      <c r="J47" s="5">
        <f>RANK(Table1[[#This Row],[Salary]],$I$8:$I$55,0)</f>
        <v>19</v>
      </c>
      <c r="M47" t="s">
        <v>111</v>
      </c>
      <c r="P47">
        <v>42</v>
      </c>
      <c r="Q47" t="s">
        <v>109</v>
      </c>
      <c r="R47">
        <v>29</v>
      </c>
      <c r="S47" t="s">
        <v>8</v>
      </c>
      <c r="T47" t="s">
        <v>137</v>
      </c>
      <c r="U47" t="s">
        <v>110</v>
      </c>
      <c r="W47" t="str">
        <f>IF(M47=0,$M$6,M47)</f>
        <v>567 35th St, Lucknow, Uttar Pradesh, India</v>
      </c>
      <c r="X47">
        <v>32258</v>
      </c>
    </row>
    <row r="48" spans="1:24" x14ac:dyDescent="0.35">
      <c r="A48">
        <v>43</v>
      </c>
      <c r="B48" t="s">
        <v>112</v>
      </c>
      <c r="C48">
        <v>26</v>
      </c>
      <c r="D48" t="s">
        <v>12</v>
      </c>
      <c r="E48" t="s">
        <v>138</v>
      </c>
      <c r="F48" t="s">
        <v>113</v>
      </c>
      <c r="G48" s="8">
        <v>915555555555</v>
      </c>
      <c r="H48" t="s">
        <v>114</v>
      </c>
      <c r="I48">
        <v>31047</v>
      </c>
      <c r="J48" s="5">
        <f>RANK(Table1[[#This Row],[Salary]],$I$8:$I$55,0)</f>
        <v>22</v>
      </c>
      <c r="M48" t="s">
        <v>114</v>
      </c>
      <c r="P48">
        <v>43</v>
      </c>
      <c r="Q48" t="s">
        <v>112</v>
      </c>
      <c r="R48">
        <v>26</v>
      </c>
      <c r="S48" t="s">
        <v>12</v>
      </c>
      <c r="T48" t="s">
        <v>138</v>
      </c>
      <c r="U48" t="s">
        <v>113</v>
      </c>
      <c r="V48">
        <v>915555555555</v>
      </c>
      <c r="W48" t="str">
        <f>IF(M48=0,$M$6,M48)</f>
        <v>654 36th St, Jaipur, Rajasthan, India</v>
      </c>
      <c r="X48">
        <v>31047</v>
      </c>
    </row>
    <row r="49" spans="1:24" x14ac:dyDescent="0.35">
      <c r="A49">
        <v>44</v>
      </c>
      <c r="B49" t="s">
        <v>148</v>
      </c>
      <c r="C49">
        <v>28</v>
      </c>
      <c r="D49" t="s">
        <v>8</v>
      </c>
      <c r="E49" t="s">
        <v>139</v>
      </c>
      <c r="F49" t="s">
        <v>115</v>
      </c>
      <c r="G49" s="8"/>
      <c r="H49" t="s">
        <v>116</v>
      </c>
      <c r="I49">
        <v>31064</v>
      </c>
      <c r="J49" s="5">
        <f>RANK(Table1[[#This Row],[Salary]],$I$8:$I$55,0)</f>
        <v>21</v>
      </c>
      <c r="M49" t="s">
        <v>116</v>
      </c>
      <c r="P49">
        <v>44</v>
      </c>
      <c r="Q49" t="s">
        <v>148</v>
      </c>
      <c r="R49">
        <v>28</v>
      </c>
      <c r="S49" t="s">
        <v>8</v>
      </c>
      <c r="T49" t="s">
        <v>139</v>
      </c>
      <c r="U49" t="s">
        <v>115</v>
      </c>
      <c r="W49" t="str">
        <f>IF(M49=0,$M$6,M49)</f>
        <v>789 37th St, Chennai, Tamil Nadu, India</v>
      </c>
      <c r="X49">
        <v>31064</v>
      </c>
    </row>
    <row r="50" spans="1:24" x14ac:dyDescent="0.35">
      <c r="A50">
        <v>45</v>
      </c>
      <c r="B50" t="s">
        <v>117</v>
      </c>
      <c r="C50">
        <v>31</v>
      </c>
      <c r="D50" t="s">
        <v>8</v>
      </c>
      <c r="E50" t="s">
        <v>140</v>
      </c>
      <c r="F50" t="s">
        <v>118</v>
      </c>
      <c r="G50" s="8">
        <v>918888888888</v>
      </c>
      <c r="H50" t="s">
        <v>161</v>
      </c>
      <c r="I50">
        <v>3108</v>
      </c>
      <c r="J50" s="5">
        <f>RANK(Table1[[#This Row],[Salary]],$I$8:$I$55,0)</f>
        <v>46</v>
      </c>
      <c r="M50">
        <v>0</v>
      </c>
      <c r="P50">
        <v>45</v>
      </c>
      <c r="Q50" t="s">
        <v>117</v>
      </c>
      <c r="R50">
        <v>31</v>
      </c>
      <c r="S50" t="s">
        <v>8</v>
      </c>
      <c r="T50" t="s">
        <v>140</v>
      </c>
      <c r="U50" t="s">
        <v>118</v>
      </c>
      <c r="V50">
        <v>918888888888</v>
      </c>
      <c r="W50" t="str">
        <f>IF(M50=0,$M$6,M50)</f>
        <v>Address not available</v>
      </c>
      <c r="X50">
        <v>3108</v>
      </c>
    </row>
    <row r="51" spans="1:24" x14ac:dyDescent="0.35">
      <c r="A51">
        <v>46</v>
      </c>
      <c r="B51" t="s">
        <v>119</v>
      </c>
      <c r="C51">
        <v>27</v>
      </c>
      <c r="D51" t="s">
        <v>12</v>
      </c>
      <c r="E51" t="s">
        <v>135</v>
      </c>
      <c r="F51" t="s">
        <v>120</v>
      </c>
      <c r="G51" s="8">
        <v>917777777777</v>
      </c>
      <c r="H51" t="s">
        <v>121</v>
      </c>
      <c r="I51">
        <v>20205</v>
      </c>
      <c r="J51" s="5">
        <f>RANK(Table1[[#This Row],[Salary]],$I$8:$I$55,0)</f>
        <v>30</v>
      </c>
      <c r="M51" t="s">
        <v>121</v>
      </c>
      <c r="P51">
        <v>46</v>
      </c>
      <c r="Q51" t="s">
        <v>119</v>
      </c>
      <c r="R51">
        <v>27</v>
      </c>
      <c r="S51" t="s">
        <v>12</v>
      </c>
      <c r="T51" t="s">
        <v>135</v>
      </c>
      <c r="U51" t="s">
        <v>120</v>
      </c>
      <c r="V51">
        <v>917777777777</v>
      </c>
      <c r="W51" t="str">
        <f>IF(M51=0,$M$6,M51)</f>
        <v>567 38th St, Hyderabad, Telangana, India</v>
      </c>
      <c r="X51">
        <v>20205</v>
      </c>
    </row>
    <row r="52" spans="1:24" x14ac:dyDescent="0.35">
      <c r="A52">
        <v>47</v>
      </c>
      <c r="B52" t="s">
        <v>149</v>
      </c>
      <c r="C52">
        <v>29</v>
      </c>
      <c r="D52" t="s">
        <v>8</v>
      </c>
      <c r="E52" t="s">
        <v>135</v>
      </c>
      <c r="F52" t="s">
        <v>122</v>
      </c>
      <c r="G52" s="8"/>
      <c r="H52" t="s">
        <v>123</v>
      </c>
      <c r="I52">
        <v>8746</v>
      </c>
      <c r="J52" s="5">
        <f>RANK(Table1[[#This Row],[Salary]],$I$8:$I$55,0)</f>
        <v>40</v>
      </c>
      <c r="M52" t="s">
        <v>123</v>
      </c>
      <c r="P52">
        <v>47</v>
      </c>
      <c r="Q52" t="s">
        <v>149</v>
      </c>
      <c r="R52">
        <v>29</v>
      </c>
      <c r="S52" t="s">
        <v>8</v>
      </c>
      <c r="T52" t="s">
        <v>135</v>
      </c>
      <c r="U52" t="s">
        <v>122</v>
      </c>
      <c r="W52" t="str">
        <f>IF(M52=0,$M$6,M52)</f>
        <v>234 39th St, Pune, Maharashtra, India</v>
      </c>
      <c r="X52">
        <v>8746</v>
      </c>
    </row>
    <row r="53" spans="1:24" x14ac:dyDescent="0.35">
      <c r="A53">
        <v>48</v>
      </c>
      <c r="B53" t="s">
        <v>124</v>
      </c>
      <c r="C53">
        <v>32</v>
      </c>
      <c r="D53" t="s">
        <v>12</v>
      </c>
      <c r="E53" t="s">
        <v>158</v>
      </c>
      <c r="F53" t="s">
        <v>125</v>
      </c>
      <c r="G53" s="8">
        <v>916666666666</v>
      </c>
      <c r="H53" t="s">
        <v>126</v>
      </c>
      <c r="I53">
        <v>15531</v>
      </c>
      <c r="J53" s="5">
        <f>RANK(Table1[[#This Row],[Salary]],$I$8:$I$55,0)</f>
        <v>33</v>
      </c>
      <c r="M53" t="s">
        <v>126</v>
      </c>
      <c r="P53">
        <v>48</v>
      </c>
      <c r="Q53" t="s">
        <v>124</v>
      </c>
      <c r="R53">
        <v>32</v>
      </c>
      <c r="S53" t="s">
        <v>12</v>
      </c>
      <c r="T53" t="s">
        <v>158</v>
      </c>
      <c r="U53" t="s">
        <v>125</v>
      </c>
      <c r="V53">
        <v>916666666666</v>
      </c>
      <c r="W53" t="str">
        <f>IF(M53=0,$M$6,M53)</f>
        <v>901 40th St, Ahmedabad, Gujarat, India</v>
      </c>
      <c r="X53">
        <v>15531</v>
      </c>
    </row>
    <row r="54" spans="1:24" x14ac:dyDescent="0.35">
      <c r="A54">
        <v>49</v>
      </c>
      <c r="B54" t="s">
        <v>127</v>
      </c>
      <c r="C54">
        <v>30</v>
      </c>
      <c r="D54" t="s">
        <v>8</v>
      </c>
      <c r="E54" t="s">
        <v>137</v>
      </c>
      <c r="F54" t="s">
        <v>128</v>
      </c>
      <c r="G54" s="8">
        <v>915555555555</v>
      </c>
      <c r="H54" t="s">
        <v>129</v>
      </c>
      <c r="I54">
        <v>23055</v>
      </c>
      <c r="J54" s="5">
        <f>RANK(Table1[[#This Row],[Salary]],$I$8:$I$55,0)</f>
        <v>26</v>
      </c>
      <c r="M54" t="s">
        <v>129</v>
      </c>
      <c r="P54">
        <v>49</v>
      </c>
      <c r="Q54" t="s">
        <v>127</v>
      </c>
      <c r="R54">
        <v>30</v>
      </c>
      <c r="S54" t="s">
        <v>8</v>
      </c>
      <c r="T54" t="s">
        <v>137</v>
      </c>
      <c r="U54" t="s">
        <v>128</v>
      </c>
      <c r="V54">
        <v>915555555555</v>
      </c>
      <c r="W54" t="str">
        <f>IF(M54=0,$M$6,M54)</f>
        <v>321 41st St, Bangalore, Karnataka, India</v>
      </c>
      <c r="X54">
        <v>23055</v>
      </c>
    </row>
    <row r="55" spans="1:24" x14ac:dyDescent="0.35">
      <c r="A55">
        <v>50</v>
      </c>
      <c r="B55" t="s">
        <v>130</v>
      </c>
      <c r="C55">
        <v>30</v>
      </c>
      <c r="D55" t="s">
        <v>12</v>
      </c>
      <c r="E55" t="s">
        <v>137</v>
      </c>
      <c r="F55" t="s">
        <v>131</v>
      </c>
      <c r="G55" s="8"/>
      <c r="H55" t="s">
        <v>132</v>
      </c>
      <c r="I55">
        <v>18647</v>
      </c>
      <c r="J55" s="5">
        <f>RANK(Table1[[#This Row],[Salary]],$I$8:$I$55,0)</f>
        <v>31</v>
      </c>
      <c r="M55" t="s">
        <v>132</v>
      </c>
      <c r="P55">
        <v>50</v>
      </c>
      <c r="Q55" t="s">
        <v>130</v>
      </c>
      <c r="R55">
        <v>30</v>
      </c>
      <c r="S55" t="s">
        <v>12</v>
      </c>
      <c r="T55" t="s">
        <v>137</v>
      </c>
      <c r="U55" t="s">
        <v>131</v>
      </c>
      <c r="W55" t="str">
        <f>IF(M55=0,$M$6,M55)</f>
        <v>789 42nd St, Mumbai, Maharashtra, India</v>
      </c>
      <c r="X55">
        <v>18647</v>
      </c>
    </row>
    <row r="56" spans="1:24" x14ac:dyDescent="0.35">
      <c r="A56" s="1"/>
      <c r="B56" s="1"/>
      <c r="C56" s="1"/>
      <c r="D56" s="1"/>
      <c r="E56" s="1"/>
      <c r="F56" s="1"/>
      <c r="G56" s="2"/>
      <c r="H56" s="1"/>
      <c r="I56" s="1"/>
      <c r="J56" s="1"/>
    </row>
  </sheetData>
  <conditionalFormatting sqref="I8:I55">
    <cfRule type="top10" dxfId="4" priority="5" rank="10"/>
  </conditionalFormatting>
  <conditionalFormatting sqref="B8:B55">
    <cfRule type="top10" dxfId="3" priority="4" rank="10"/>
  </conditionalFormatting>
  <conditionalFormatting sqref="J8:J55">
    <cfRule type="cellIs" dxfId="2" priority="1" operator="between">
      <formula>1</formula>
      <formula>10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Amit Toppo</cp:lastModifiedBy>
  <dcterms:created xsi:type="dcterms:W3CDTF">2023-04-26T07:21:03Z</dcterms:created>
  <dcterms:modified xsi:type="dcterms:W3CDTF">2023-05-24T19:26:42Z</dcterms:modified>
</cp:coreProperties>
</file>